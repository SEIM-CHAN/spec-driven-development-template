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3974b8326949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28f7eb503f8f491a"/>
    <x:sheet xmlns:r="http://schemas.openxmlformats.org/officeDocument/2006/relationships" name="Parameters" sheetId="2" r:id="R08433b8b49644759"/>
    <x:sheet xmlns:r="http://schemas.openxmlformats.org/officeDocument/2006/relationships" name="Difficulty" sheetId="3" r:id="Ra82cf202732442e7"/>
    <x:sheet xmlns:r="http://schemas.openxmlformats.org/officeDocument/2006/relationships" name="Internal Estimate" sheetId="4" r:id="R722182589fa540d6"/>
    <x:sheet xmlns:r="http://schemas.openxmlformats.org/officeDocument/2006/relationships" name="Client Preview" sheetId="5" r:id="Rcee1277a8f724b3b"/>
    <x:sheet xmlns:r="http://schemas.openxmlformats.org/officeDocument/2006/relationships" name="Checks" sheetId="6" r:id="R54d49be04a2040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"/>
    <x:numFmt numFmtId="201" formatCode="¥#,##0;[Red](¥#,##0);-"/>
    <x:numFmt numFmtId="202" formatCode="0.0%"/>
    <x:numFmt numFmtId="203" formatCode="0"/>
    <x:numFmt numFmtId="204" formatCode="0.00"/>
    <x:numFmt numFmtId="205" formatCode="0.00x"/>
    <x:numFmt numFmtId="206" formatCode="#,##0.0;[Red](#,##0.0);-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200" fontId="2" fillId="7" borderId="1" xfId="0" applyNumberFormat="1" applyFont="1" applyFill="1" applyBorder="1"/>
    <x:xf numFmtId="201" fontId="2" fillId="7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203" fontId="2" fillId="7" borderId="0" xfId="0" applyNumberFormat="1" applyFont="1" applyFill="1" applyBorder="1"/>
    <x:xf numFmtId="0" fontId="0" fillId="8" borderId="0" xfId="0" applyNumberFormat="1" applyFont="1" applyFill="1" applyBorder="1"/>
    <x:xf numFmtId="204" fontId="0" fillId="8" borderId="0" xfId="0" applyNumberFormat="1" applyFont="1" applyFill="1" applyBorder="1"/>
    <x:xf numFmtId="202" fontId="0" fillId="0" borderId="1" xfId="0" applyNumberFormat="1" applyFont="1" applyFill="1" applyBorder="1"/>
    <x:xf numFmtId="203" fontId="2" fillId="7" borderId="1" xfId="0" applyNumberFormat="1" applyFont="1" applyFill="1" applyBorder="1"/>
    <x:xf numFmtId="204" fontId="0" fillId="8" borderId="1" xfId="0" applyNumberFormat="1" applyFont="1" applyFill="1" applyBorder="1"/>
    <x:xf numFmtId="0" fontId="2" fillId="8" borderId="0" xfId="0" applyNumberFormat="1" applyFont="1" applyFill="1" applyBorder="1"/>
    <x:xf numFmtId="204" fontId="2" fillId="8" borderId="0" xfId="0" applyNumberFormat="1" applyFont="1" applyFill="1" applyBorder="1"/>
    <x:xf numFmtId="205" fontId="2" fillId="8" borderId="0" xfId="0" applyNumberFormat="1" applyFont="1" applyFill="1" applyBorder="1"/>
    <x:xf numFmtId="204" fontId="2" fillId="8" borderId="1" xfId="0" applyNumberFormat="1" applyFont="1" applyFill="1" applyBorder="1"/>
    <x:xf numFmtId="0" fontId="2" fillId="8" borderId="1" xfId="0" applyNumberFormat="1" applyFont="1" applyFill="1" applyBorder="1"/>
    <x:xf numFmtId="205" fontId="2" fillId="8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4" fillId="8" borderId="1" xfId="0" applyNumberFormat="1" applyFont="1" applyFill="1" applyBorder="1" applyAlignment="1">
      <x:alignment horizontal="center" vertical="center" wrapText="1"/>
    </x:xf>
    <x:xf numFmtId="206" fontId="2" fillId="8" borderId="0" xfId="0" applyNumberFormat="1" applyFont="1" applyFill="1" applyBorder="1"/>
    <x:xf numFmtId="206" fontId="4" fillId="8" borderId="1" xfId="0" applyNumberFormat="1" applyFont="1" applyFill="1" applyBorder="1" applyAlignment="1">
      <x:alignment horizontal="center" vertical="center" wrapText="1"/>
    </x:xf>
    <x:xf numFmtId="201" fontId="2" fillId="8" borderId="0" xfId="0" applyNumberFormat="1" applyFont="1" applyFill="1" applyBorder="1"/>
    <x:xf numFmtId="206" fontId="0" fillId="7" borderId="0" xfId="0" applyNumberFormat="1" applyFont="1" applyFill="1" applyBorder="1"/>
    <x:xf numFmtId="201" fontId="0" fillId="7" borderId="0" xfId="0" applyNumberFormat="1" applyFont="1" applyFill="1" applyBorder="1"/>
    <x:xf numFmtId="206" fontId="0" fillId="8" borderId="0" xfId="0" applyNumberFormat="1" applyFont="1" applyFill="1" applyBorder="1"/>
    <x:xf numFmtId="201" fontId="0" fillId="8" borderId="0" xfId="0" applyNumberFormat="1" applyFont="1" applyFill="1" applyBorder="1"/>
    <x:xf numFmtId="206" fontId="0" fillId="7" borderId="1" xfId="0" applyNumberFormat="1" applyFont="1" applyFill="1" applyBorder="1"/>
    <x:xf numFmtId="201" fontId="0" fillId="7" borderId="1" xfId="0" applyNumberFormat="1" applyFont="1" applyFill="1" applyBorder="1"/>
    <x:xf numFmtId="206" fontId="0" fillId="8" borderId="1" xfId="0" applyNumberFormat="1" applyFont="1" applyFill="1" applyBorder="1"/>
    <x:xf numFmtId="201" fontId="0" fillId="8" borderId="1" xfId="0" applyNumberFormat="1" applyFont="1" applyFill="1" applyBorder="1"/>
    <x:xf numFmtId="206" fontId="3" fillId="4" borderId="0" xfId="0" applyNumberFormat="1" applyFont="1" applyFill="1" applyBorder="1"/>
    <x:xf numFmtId="201" fontId="3" fillId="4" borderId="0" xfId="0" applyNumberFormat="1" applyFont="1" applyFill="1" applyBorder="1"/>
    <x:xf numFmtId="201" fontId="2" fillId="8" borderId="1" xfId="0" applyNumberFormat="1" applyFont="1" applyFill="1" applyBorder="1"/>
    <x:xf numFmtId="0" fontId="2" fillId="8" borderId="0" xfId="0" applyNumberFormat="1" applyFont="1" applyFill="1" applyBorder="1" applyAlignment="1">
      <x:alignment horizontal="center"/>
    </x:xf>
    <x:xf numFmtId="0" fontId="2" fillId="8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c9de0ff9a24213" /><Relationship Type="http://schemas.openxmlformats.org/officeDocument/2006/relationships/theme" Target="/xl/theme/theme1.xml" Id="Rbfc02e9cf5d44199" /><Relationship Type="http://schemas.openxmlformats.org/officeDocument/2006/relationships/sharedStrings" Target="/xl/sharedStrings.xml" Id="R54a8a12a45b547a1" /><Relationship Type="http://schemas.openxmlformats.org/officeDocument/2006/relationships/worksheet" Target="/xl/worksheets/sheet1.xml" Id="R28f7eb503f8f491a" /><Relationship Type="http://schemas.openxmlformats.org/officeDocument/2006/relationships/worksheet" Target="/xl/worksheets/sheet2.xml" Id="R08433b8b49644759" /><Relationship Type="http://schemas.openxmlformats.org/officeDocument/2006/relationships/worksheet" Target="/xl/worksheets/sheet3.xml" Id="Ra82cf202732442e7" /><Relationship Type="http://schemas.openxmlformats.org/officeDocument/2006/relationships/worksheet" Target="/xl/worksheets/sheet4.xml" Id="R722182589fa540d6" /><Relationship Type="http://schemas.openxmlformats.org/officeDocument/2006/relationships/worksheet" Target="/xl/worksheets/sheet5.xml" Id="Rcee1277a8f724b3b" /><Relationship Type="http://schemas.openxmlformats.org/officeDocument/2006/relationships/worksheet" Target="/xl/worksheets/sheet6.xml" Id="R54d49be04a2040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88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 ht="28" customHeight="1">
      <x:c r="A1" s="4" t="str">
        <x:v>工数・金額見積モデル — 使い方</x:v>
      </x:c>
      <x:c r="B1" s="4" t="str">
        <x:v>工数・金額見積モデル — 使い方</x:v>
      </x:c>
      <x:c r="C1" s="4" t="str">
        <x:v>工数・金額見積モデル — 使い方</x:v>
      </x:c>
      <x:c r="D1" s="4" t="str">
        <x:v>工数・金額見積モデル — 使い方</x:v>
      </x:c>
      <x:c r="E1" s="4" t="str">
        <x:v>工数・金額見積モデル — 使い方</x:v>
      </x:c>
      <x:c r="F1" s="4" t="str">
        <x:v>工数・金額見積モデル — 使い方</x:v>
      </x:c>
      <x:c r="G1" s="4" t="str">
        <x:v>工数・金額見積モデル — 使い方</x:v>
      </x:c>
      <x:c r="H1" s="4" t="str">
        <x:v>工数・金額見積モデル — 使い方</x:v>
      </x:c>
    </x:row>
    <x:row r="3">
      <x:c r="A3" s="7" t="str">
        <x:v>このブックは内部用です。顧客へは『Client Preview』を値貼り付けした専用ファイルだけを渡してください。</x:v>
      </x:c>
      <x:c r="B3" s="7" t="str">
        <x:v>このブックは内部用です。顧客へは『Client Preview』を値貼り付けした専用ファイルだけを渡してください。</x:v>
      </x:c>
      <x:c r="C3" s="7" t="str">
        <x:v>このブックは内部用です。顧客へは『Client Preview』を値貼り付けした専用ファイルだけを渡してください。</x:v>
      </x:c>
      <x:c r="D3" s="7" t="str">
        <x:v>このブックは内部用です。顧客へは『Client Preview』を値貼り付けした専用ファイルだけを渡してください。</x:v>
      </x:c>
      <x:c r="E3" s="7" t="str">
        <x:v>このブックは内部用です。顧客へは『Client Preview』を値貼り付けした専用ファイルだけを渡してください。</x:v>
      </x:c>
      <x:c r="F3" s="7" t="str">
        <x:v>このブックは内部用です。顧客へは『Client Preview』を値貼り付けした専用ファイルだけを渡してください。</x:v>
      </x:c>
      <x:c r="G3" s="7" t="str">
        <x:v>このブックは内部用です。顧客へは『Client Preview』を値貼り付けした専用ファイルだけを渡してください。</x:v>
      </x:c>
      <x:c r="H3" s="7" t="str">
        <x:v>このブックは内部用です。顧客へは『Client Preview』を値貼り付けした専用ファイルだけを渡してください。</x:v>
      </x:c>
    </x:row>
    <x:row r="5">
      <x:c r="A5" s="10" t="str">
        <x:v>手順</x:v>
      </x:c>
      <x:c r="B5" s="10" t="str">
        <x:v>手順</x:v>
      </x:c>
      <x:c r="C5" s="10" t="str">
        <x:v>手順</x:v>
      </x:c>
      <x:c r="D5" s="10" t="str">
        <x:v>手順</x:v>
      </x:c>
      <x:c r="E5" s="10" t="str">
        <x:v>手順</x:v>
      </x:c>
      <x:c r="F5" s="10" t="str">
        <x:v>手順</x:v>
      </x:c>
      <x:c r="G5" s="10" t="str">
        <x:v>手順</x:v>
      </x:c>
      <x:c r="H5" s="10" t="str">
        <x:v>手順</x:v>
      </x:c>
    </x:row>
    <x:row r="6">
      <x:c r="A6" s="16" t="str">
        <x:v>1</x:v>
      </x:c>
      <x:c r="B6" s="17" t="str">
        <x:v>Parametersで、1人日あたり時間、1人月あたり人日、顧客提示用の時間単価を入力する。</x:v>
      </x:c>
    </x:row>
    <x:row r="7">
      <x:c r="A7" s="16" t="str">
        <x:v>2</x:v>
      </x:c>
      <x:c r="B7" s="17" t="str">
        <x:v>Difficultyで8観点を1〜5点で評価する。重み付き難易度から提示用の工数倍率（1.20〜2.00）が決まる。</x:v>
      </x:c>
    </x:row>
    <x:row r="8">
      <x:c r="A8" s="16" t="str">
        <x:v>3</x:v>
      </x:c>
      <x:c r="B8" s="17" t="str">
        <x:v>Internal Estimateに、要件IDごとの作業・役割・内部工数・内部時間単価を入力する。</x:v>
      </x:c>
    </x:row>
    <x:row r="9">
      <x:c r="A9" s="16" t="str">
        <x:v>4</x:v>
      </x:c>
      <x:c r="B9" s="17" t="str">
        <x:v>Client Previewで顧客提示用の人日・人月・金額を確認する。</x:v>
      </x:c>
    </x:row>
    <x:row r="10">
      <x:c r="A10" s="16" t="str">
        <x:v>5</x:v>
      </x:c>
      <x:c r="B10" s="17" t="str">
        <x:v>顧客へ渡すときは、Client Previewの表を値として『client_estimate_share_template.xlsx』へ貼り付ける。</x:v>
      </x:c>
    </x:row>
    <x:row r="11">
      <x:c r="A11" s="16" t="str">
        <x:v>6</x:v>
      </x:c>
      <x:c r="B11" s="17" t="str">
        <x:v>仕様変更時はCR-xxxとEST-xxxを関連付け、既存見積を上書きせず差分を作成する。</x:v>
      </x:c>
    </x:row>
    <x:row r="13">
      <x:c r="A13" s="10" t="str">
        <x:v>重要な運用ルール</x:v>
      </x:c>
      <x:c r="B13" s="10" t="str">
        <x:v>重要な運用ルール</x:v>
      </x:c>
      <x:c r="C13" s="10" t="str">
        <x:v>重要な運用ルール</x:v>
      </x:c>
      <x:c r="D13" s="10" t="str">
        <x:v>重要な運用ルール</x:v>
      </x:c>
      <x:c r="E13" s="10" t="str">
        <x:v>重要な運用ルール</x:v>
      </x:c>
      <x:c r="F13" s="10" t="str">
        <x:v>重要な運用ルール</x:v>
      </x:c>
      <x:c r="G13" s="10" t="str">
        <x:v>重要な運用ルール</x:v>
      </x:c>
      <x:c r="H13" s="10" t="str">
        <x:v>重要な運用ルール</x:v>
      </x:c>
    </x:row>
    <x:row r="14">
      <x:c r="A14" s="18" t="str">
        <x:v>・1.20〜2.00は『内部見積工数に掛ける合計倍率』です。追加で120〜200%を上乗せする意味ではありません。</x:v>
      </x:c>
    </x:row>
    <x:row r="15">
      <x:c r="A15" s="18" t="str">
        <x:v>・単価、生産性、予備費率、最終提示額は、責任者が承認した値だけを入力します。</x:v>
      </x:c>
    </x:row>
    <x:row r="16">
      <x:c r="A16" s="18" t="str">
        <x:v>・難易度評価の根拠と見積前提は、EST-xxxとCR-xxxに残します。</x:v>
      </x:c>
    </x:row>
    <x:row r="17">
      <x:c r="A17" s="18" t="str">
        <x:v>・このブックの隠し列・シートは、機密保護ではありません。内部用ブック自体を顧客に共有しないでください。</x:v>
      </x:c>
    </x:row>
    <x:row r="18">
      <x:c r="A18" s="18" t="str">
        <x:v>・顧客提示額には、スコープ・品質・リリース上のリスクを含むことを、契約・見積条件で説明できる状態にします。</x:v>
      </x:c>
    </x:row>
  </x:sheetData>
  <x:mergeCells>
    <x:mergeCell ref="A1:H1"/>
    <x:mergeCell ref="A3:H3"/>
    <x:mergeCell ref="A5:H5"/>
    <x:mergeCell ref="A13:H13"/>
    <x:mergeCell ref="A14:H14"/>
    <x:mergeCell ref="A15:H15"/>
    <x:mergeCell ref="A16:H16"/>
    <x:mergeCell ref="A17:H17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58" hidden="0" customWidth="1"/>
    <x:col min="4" max="4" width="4" hidden="0" customWidth="1"/>
    <x:col min="5" max="5" width="4" hidden="0" customWidth="1"/>
    <x:col min="6" max="6" width="4" hidden="0" customWidth="1"/>
  </x:cols>
  <x:sheetData>
    <x:row r="1" ht="28" customHeight="1">
      <x:c r="A1" s="4" t="str">
        <x:v>見積パラメータ（内部用）</x:v>
      </x:c>
      <x:c r="B1" s="4" t="str">
        <x:v>見積パラメータ（内部用）</x:v>
      </x:c>
      <x:c r="C1" s="4" t="str">
        <x:v>見積パラメータ（内部用）</x:v>
      </x:c>
      <x:c r="D1" s="4" t="str">
        <x:v>見積パラメータ（内部用）</x:v>
      </x:c>
      <x:c r="E1" s="4" t="str">
        <x:v>見積パラメータ（内部用）</x:v>
      </x:c>
      <x:c r="F1" s="4" t="str">
        <x:v>見積パラメータ（内部用）</x:v>
      </x:c>
    </x:row>
    <x:row r="3">
      <x:c r="A3" s="10" t="str">
        <x:v>入力値</x:v>
      </x:c>
      <x:c r="B3" s="10" t="str">
        <x:v>入力値</x:v>
      </x:c>
      <x:c r="C3" s="10" t="str">
        <x:v>入力値</x:v>
      </x:c>
      <x:c r="D3" s="10" t="str">
        <x:v>入力値</x:v>
      </x:c>
      <x:c r="E3" s="10" t="str">
        <x:v>入力値</x:v>
      </x:c>
      <x:c r="F3" s="10" t="str">
        <x:v>入力値</x:v>
      </x:c>
    </x:row>
    <x:row r="4">
      <x:c r="A4" s="24" t="str">
        <x:v>項目</x:v>
      </x:c>
      <x:c r="B4" s="24" t="str">
        <x:v>値</x:v>
      </x:c>
      <x:c r="C4" s="24" t="str">
        <x:v>説明</x:v>
      </x:c>
    </x:row>
    <x:row r="5">
      <x:c r="A5" s="25" t="str">
        <x:v>1人日あたり時間</x:v>
      </x:c>
      <x:c r="B5" s="28" t="n">
        <x:v>8</x:v>
      </x:c>
      <x:c r="C5" s="25" t="str">
        <x:v>人日換算に使う時間。案件の契約条件に合わせて更新。</x:v>
      </x:c>
    </x:row>
    <x:row r="6">
      <x:c r="A6" s="25" t="str">
        <x:v>1人月あたり人日</x:v>
      </x:c>
      <x:c r="B6" s="28" t="n">
        <x:v>20</x:v>
      </x:c>
      <x:c r="C6" s="25" t="str">
        <x:v>人月換算に使う稼働日数。</x:v>
      </x:c>
    </x:row>
    <x:row r="7">
      <x:c r="A7" s="25" t="str">
        <x:v>顧客提示用の時間単価</x:v>
      </x:c>
      <x:c r="B7" s="29" t="n">
        <x:v>0</x:v>
      </x:c>
      <x:c r="C7" s="25" t="str">
        <x:v>顧客向け金額の算出用。承認済みの契約単価を入力。</x:v>
      </x:c>
    </x:row>
    <x:row r="9">
      <x:c r="A9" s="10" t="str">
        <x:v>入力上の注意</x:v>
      </x:c>
      <x:c r="B9" s="10" t="str">
        <x:v>入力上の注意</x:v>
      </x:c>
      <x:c r="C9" s="10" t="str">
        <x:v>入力上の注意</x:v>
      </x:c>
      <x:c r="D9" s="10" t="str">
        <x:v>入力上の注意</x:v>
      </x:c>
      <x:c r="E9" s="10" t="str">
        <x:v>入力上の注意</x:v>
      </x:c>
      <x:c r="F9" s="10" t="str">
        <x:v>入力上の注意</x:v>
      </x:c>
    </x:row>
    <x:row r="10">
      <x:c r="A10" s="30" t="str">
        <x:v>内部時間単価は『Internal Estimate』の作業行ごとに入力します。役割・契約形態が混在しても対応できます。</x:v>
      </x:c>
    </x:row>
    <x:row r="11">
      <x:c r="A11" s="30" t="str">
        <x:v>顧客提示用の時間単価をリポジトリで保持できない場合は0のままにし、顧客提示額は外部の見積管理システムで確定してください。</x:v>
      </x:c>
    </x:row>
    <x:row r="12">
      <x:c r="A12" s="30" t="str">
        <x:v>黄色のセルだけを入力・更新します。緑色のセルは数式です。</x:v>
      </x:c>
    </x:row>
  </x:sheetData>
  <x:mergeCells>
    <x:mergeCell ref="A1:F1"/>
    <x:mergeCell ref="A3:F3"/>
    <x:mergeCell ref="A9:F9"/>
    <x:mergeCell ref="A10:F10"/>
    <x:mergeCell ref="A11:F11"/>
    <x:mergeCell ref="A12:F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7" hidden="0" customWidth="1"/>
    <x:col min="3" max="3" width="17" hidden="0" customWidth="1"/>
    <x:col min="4" max="4" width="17" hidden="0" customWidth="1"/>
    <x:col min="5" max="5" width="16" hidden="0" customWidth="1"/>
    <x:col min="6" max="6" width="16" hidden="0" customWidth="1"/>
    <x:col min="7" max="7" width="20" hidden="0" customWidth="1"/>
    <x:col min="8" max="8" width="4" hidden="0" customWidth="1"/>
  </x:cols>
  <x:sheetData>
    <x:row r="1" ht="28" customHeight="1">
      <x:c r="A1" s="4" t="str">
        <x:v>難易度・バッファ倍率（内部用）</x:v>
      </x:c>
      <x:c r="B1" s="4" t="str">
        <x:v>難易度・バッファ倍率（内部用）</x:v>
      </x:c>
      <x:c r="C1" s="4" t="str">
        <x:v>難易度・バッファ倍率（内部用）</x:v>
      </x:c>
      <x:c r="D1" s="4" t="str">
        <x:v>難易度・バッファ倍率（内部用）</x:v>
      </x:c>
      <x:c r="E1" s="4" t="str">
        <x:v>難易度・バッファ倍率（内部用）</x:v>
      </x:c>
      <x:c r="F1" s="4" t="str">
        <x:v>難易度・バッファ倍率（内部用）</x:v>
      </x:c>
      <x:c r="G1" s="4" t="str">
        <x:v>難易度・バッファ倍率（内部用）</x:v>
      </x:c>
      <x:c r="H1" s="4" t="str">
        <x:v>難易度・バッファ倍率（内部用）</x:v>
      </x:c>
    </x:row>
    <x:row r="3">
      <x:c r="A3" s="30" t="str">
        <x:v>各観点を1（低い）〜5（非常に高い）で評価します。評価根拠はEST-xxxまたはCR-xxxへ記録してください。</x:v>
      </x:c>
      <x:c r="B3" s="30" t="str">
        <x:v>各観点を1（低い）〜5（非常に高い）で評価します。評価根拠はEST-xxxまたはCR-xxxへ記録してください。</x:v>
      </x:c>
      <x:c r="C3" s="30" t="str">
        <x:v>各観点を1（低い）〜5（非常に高い）で評価します。評価根拠はEST-xxxまたはCR-xxxへ記録してください。</x:v>
      </x:c>
      <x:c r="D3" s="30" t="str">
        <x:v>各観点を1（低い）〜5（非常に高い）で評価します。評価根拠はEST-xxxまたはCR-xxxへ記録してください。</x:v>
      </x:c>
      <x:c r="E3" s="30" t="str">
        <x:v>各観点を1（低い）〜5（非常に高い）で評価します。評価根拠はEST-xxxまたはCR-xxxへ記録してください。</x:v>
      </x:c>
      <x:c r="F3" s="30" t="str">
        <x:v>各観点を1（低い）〜5（非常に高い）で評価します。評価根拠はEST-xxxまたはCR-xxxへ記録してください。</x:v>
      </x:c>
      <x:c r="G3" s="30" t="str">
        <x:v>各観点を1（低い）〜5（非常に高い）で評価します。評価根拠はEST-xxxまたはCR-xxxへ記録してください。</x:v>
      </x:c>
      <x:c r="H3" s="30" t="str">
        <x:v>各観点を1（低い）〜5（非常に高い）で評価します。評価根拠はEST-xxxまたはCR-xxxへ記録してください。</x:v>
      </x:c>
    </x:row>
    <x:row r="5">
      <x:c r="A5" s="24" t="str">
        <x:v>観点</x:v>
      </x:c>
      <x:c r="B5" s="24" t="str">
        <x:v>重み</x:v>
      </x:c>
      <x:c r="C5" s="24" t="str">
        <x:v>評価（1〜5）</x:v>
      </x:c>
      <x:c r="D5" s="24" t="str">
        <x:v>重み付き点</x:v>
      </x:c>
      <x:c r="E5" s="24" t="str">
        <x:v>難易度帯</x:v>
      </x:c>
      <x:c r="F5" s="24" t="str">
        <x:v>上限スコア</x:v>
      </x:c>
      <x:c r="G5" s="24" t="str">
        <x:v>提示用工数倍率</x:v>
      </x:c>
    </x:row>
    <x:row r="6">
      <x:c r="A6" s="25" t="str">
        <x:v>要件・スコープの不確実性</x:v>
      </x:c>
      <x:c r="B6" s="37" t="n">
        <x:v>0.18</x:v>
      </x:c>
      <x:c r="C6" s="38" t="n">
        <x:v>3</x:v>
      </x:c>
      <x:c r="D6" s="39" t="n">
        <x:f>B6*C6</x:f>
        <x:v>0.54</x:v>
      </x:c>
      <x:c r="E6" s="25" t="str">
        <x:v>低</x:v>
      </x:c>
      <x:c r="F6" s="47" t="n">
        <x:v>1.8</x:v>
      </x:c>
      <x:c r="G6" s="47" t="n">
        <x:v>1.2</x:v>
      </x:c>
    </x:row>
    <x:row r="7">
      <x:c r="A7" s="25" t="str">
        <x:v>技術的新規性</x:v>
      </x:c>
      <x:c r="B7" s="37" t="n">
        <x:v>0.16</x:v>
      </x:c>
      <x:c r="C7" s="38" t="n">
        <x:v>3</x:v>
      </x:c>
      <x:c r="D7" s="39" t="n">
        <x:f>B7*C7</x:f>
        <x:v>0.48</x:v>
      </x:c>
      <x:c r="E7" s="25" t="str">
        <x:v>標準</x:v>
      </x:c>
      <x:c r="F7" s="47" t="n">
        <x:v>2.6</x:v>
      </x:c>
      <x:c r="G7" s="47" t="n">
        <x:v>1.35</x:v>
      </x:c>
    </x:row>
    <x:row r="8">
      <x:c r="A8" s="25" t="str">
        <x:v>外部連携・依存先</x:v>
      </x:c>
      <x:c r="B8" s="37" t="n">
        <x:v>0.16</x:v>
      </x:c>
      <x:c r="C8" s="38" t="n">
        <x:v>3</x:v>
      </x:c>
      <x:c r="D8" s="39" t="n">
        <x:f>B8*C8</x:f>
        <x:v>0.48</x:v>
      </x:c>
      <x:c r="E8" s="25" t="str">
        <x:v>中</x:v>
      </x:c>
      <x:c r="F8" s="47" t="n">
        <x:v>3.4</x:v>
      </x:c>
      <x:c r="G8" s="47" t="n">
        <x:v>1.5</x:v>
      </x:c>
    </x:row>
    <x:row r="9">
      <x:c r="A9" s="25" t="str">
        <x:v>データ移行・整合性</x:v>
      </x:c>
      <x:c r="B9" s="37" t="n">
        <x:v>0.12</x:v>
      </x:c>
      <x:c r="C9" s="38" t="n">
        <x:v>3</x:v>
      </x:c>
      <x:c r="D9" s="39" t="n">
        <x:f>B9*C9</x:f>
        <x:v>0.36</x:v>
      </x:c>
      <x:c r="E9" s="25" t="str">
        <x:v>高</x:v>
      </x:c>
      <x:c r="F9" s="47" t="n">
        <x:v>4.2</x:v>
      </x:c>
      <x:c r="G9" s="47" t="n">
        <x:v>1.7</x:v>
      </x:c>
    </x:row>
    <x:row r="10">
      <x:c r="A10" s="25" t="str">
        <x:v>セキュリティ・性能など非機能</x:v>
      </x:c>
      <x:c r="B10" s="37" t="n">
        <x:v>0.12</x:v>
      </x:c>
      <x:c r="C10" s="38" t="n">
        <x:v>3</x:v>
      </x:c>
      <x:c r="D10" s="39" t="n">
        <x:f>B10*C10</x:f>
        <x:v>0.36</x:v>
      </x:c>
      <x:c r="E10" s="25" t="str">
        <x:v>非常に高</x:v>
      </x:c>
      <x:c r="F10" s="47" t="n">
        <x:v>5</x:v>
      </x:c>
      <x:c r="G10" s="47" t="n">
        <x:v>2</x:v>
      </x:c>
    </x:row>
    <x:row r="11">
      <x:c r="A11" s="25" t="str">
        <x:v>納期・リリース制約</x:v>
      </x:c>
      <x:c r="B11" s="37" t="n">
        <x:v>0.1</x:v>
      </x:c>
      <x:c r="C11" s="38" t="n">
        <x:v>3</x:v>
      </x:c>
      <x:c r="D11" s="39" t="n">
        <x:f>B11*C11</x:f>
        <x:v>0.30000000000000004</x:v>
      </x:c>
    </x:row>
    <x:row r="12">
      <x:c r="A12" s="25" t="str">
        <x:v>関係者・チーム間調整</x:v>
      </x:c>
      <x:c r="B12" s="37" t="n">
        <x:v>0.1</x:v>
      </x:c>
      <x:c r="C12" s="38" t="n">
        <x:v>3</x:v>
      </x:c>
      <x:c r="D12" s="39" t="n">
        <x:f>B12*C12</x:f>
        <x:v>0.30000000000000004</x:v>
      </x:c>
    </x:row>
    <x:row r="13">
      <x:c r="A13" s="25" t="str">
        <x:v>テスト環境・運用準備</x:v>
      </x:c>
      <x:c r="B13" s="37" t="n">
        <x:v>0.06</x:v>
      </x:c>
      <x:c r="C13" s="38" t="n">
        <x:v>3</x:v>
      </x:c>
      <x:c r="D13" s="39" t="n">
        <x:f>B13*C13</x:f>
        <x:v>0.18</x:v>
      </x:c>
    </x:row>
    <x:row r="15">
      <x:c r="A15" s="24" t="str">
        <x:v>合計重み</x:v>
      </x:c>
      <x:c r="B15" s="43" t="n">
        <x:f>SUM(B6:B13)</x:f>
        <x:v>1</x:v>
      </x:c>
    </x:row>
    <x:row r="16">
      <x:c r="A16" s="24" t="str">
        <x:v>重み付き難易度</x:v>
      </x:c>
      <x:c r="B16" s="43" t="n">
        <x:f>SUM(D6:D13)</x:f>
        <x:v>2.9999999999999996</x:v>
      </x:c>
    </x:row>
    <x:row r="17">
      <x:c r="A17" s="24" t="str">
        <x:v>難易度帯</x:v>
      </x:c>
      <x:c r="B17" s="44" t="str">
        <x:f>IF(B16&lt;=$F$6,$E$6,IF(B16&lt;=$F$7,$E$7,IF(B16&lt;=$F$8,$E$8,IF(B16&lt;=$F$9,$E$9,$E$10))))</x:f>
        <x:v>中</x:v>
      </x:c>
    </x:row>
    <x:row r="18">
      <x:c r="A18" s="24" t="str">
        <x:v>提示用工数倍率</x:v>
      </x:c>
      <x:c r="B18" s="45" t="n">
        <x:f>IF(B16&lt;=$F$6,$G$6,IF(B16&lt;=$F$7,$G$7,IF(B16&lt;=$F$8,$G$8,IF(B16&lt;=$F$9,$G$9,$G$10))))</x:f>
        <x:v>1.5</x:v>
      </x:c>
    </x:row>
    <x:row r="20">
      <x:c r="A20" s="18" t="str">
        <x:v>倍率は『内部見積工数 × 倍率 = 顧客提示用工数』として使います。倍率は固定のマージンではなく、スコープ・品質・調整・リリースリスクを含む工数上の余裕です。</x:v>
      </x:c>
    </x:row>
    <x:row r="21">
      <x:c r="A21" s="18" t="str">
        <x:v>責任者は必要に応じて倍率表を変更できます。変更した場合は理由と承認をEST-xxxに記録してください。</x:v>
      </x:c>
    </x:row>
    <x:row r="22">
      <x:c r="A22" s="18" t="str">
        <x:v>注意: 1.20〜2.00は最終倍率です。追加で120〜200%を加える意味ではありません。</x:v>
      </x:c>
    </x:row>
  </x:sheetData>
  <x:mergeCells>
    <x:mergeCell ref="A1:H1"/>
    <x:mergeCell ref="A3:H3"/>
    <x:mergeCell ref="A20:H20"/>
    <x:mergeCell ref="A21:H21"/>
    <x:mergeCell ref="A22:H22"/>
  </x:mergeCells>
  <x:dataValidations count="1">
    <x:dataValidation type="whole" operator="between" sqref="C6:C13">
      <x:formula1>1</x:formula1>
      <x:formula2>5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28" hidden="0" customWidth="1"/>
    <x:col min="4" max="4" width="15" hidden="0" customWidth="1"/>
    <x:col min="5" max="5" width="18" hidden="0" customWidth="1"/>
    <x:col min="6" max="6" width="17" hidden="0" customWidth="1"/>
    <x:col min="7" max="7" width="16" hidden="0" customWidth="1"/>
    <x:col min="8" max="8" width="12" hidden="0" customWidth="1"/>
    <x:col min="9" max="9" width="12" hidden="0" customWidth="1"/>
    <x:col min="10" max="10" width="16" hidden="0" customWidth="1"/>
    <x:col min="11" max="11" width="36" hidden="0" customWidth="1"/>
  </x:cols>
  <x:sheetData>
    <x:row r="1" ht="28" customHeight="1">
      <x:c r="A1" s="4" t="str">
        <x:v>内部見積（顧客共有禁止）</x:v>
      </x:c>
      <x:c r="B1" s="4" t="str">
        <x:v>内部見積（顧客共有禁止）</x:v>
      </x:c>
      <x:c r="C1" s="4" t="str">
        <x:v>内部見積（顧客共有禁止）</x:v>
      </x:c>
      <x:c r="D1" s="4" t="str">
        <x:v>内部見積（顧客共有禁止）</x:v>
      </x:c>
      <x:c r="E1" s="4" t="str">
        <x:v>内部見積（顧客共有禁止）</x:v>
      </x:c>
      <x:c r="F1" s="4" t="str">
        <x:v>内部見積（顧客共有禁止）</x:v>
      </x:c>
      <x:c r="G1" s="4" t="str">
        <x:v>内部見積（顧客共有禁止）</x:v>
      </x:c>
      <x:c r="H1" s="4" t="str">
        <x:v>内部見積（顧客共有禁止）</x:v>
      </x:c>
      <x:c r="I1" s="4" t="str">
        <x:v>内部見積（顧客共有禁止）</x:v>
      </x:c>
      <x:c r="J1" s="4" t="str">
        <x:v>内部見積（顧客共有禁止）</x:v>
      </x:c>
      <x:c r="K1" s="4" t="str">
        <x:v>内部見積（顧客共有禁止）</x:v>
      </x:c>
    </x:row>
    <x:row r="3">
      <x:c r="A3" s="24" t="str">
        <x:v>内部合計工数（時間）</x:v>
      </x:c>
      <x:c r="B3" s="49" t="n">
        <x:f>SUM(F9:F28)</x:f>
        <x:v>0</x:v>
      </x:c>
      <x:c r="C3" s="50" t="str">
        <x:v>内部合計（人日）</x:v>
      </x:c>
      <x:c r="D3" s="49" t="n">
        <x:f>SUM(H9:H28)</x:f>
        <x:v>0</x:v>
      </x:c>
      <x:c r="E3" s="48" t="str">
        <x:v>内部合計（人月）</x:v>
      </x:c>
      <x:c r="F3" s="49" t="n">
        <x:f>SUM(I9:I28)</x:f>
        <x:v>0</x:v>
      </x:c>
      <x:c r="G3" s="48" t="str">
        <x:v>内部労務費</x:v>
      </x:c>
      <x:c r="H3" s="51" t="n">
        <x:f>SUM(J9:J28)</x:f>
        <x:v>0</x:v>
      </x:c>
      <x:c r="I3" s="24" t="str">
        <x:v>対象見積ID</x:v>
      </x:c>
      <x:c r="J3" t="str">
        <x:v>EST-001</x:v>
      </x:c>
    </x:row>
    <x:row r="4">
      <x:c r="A4" s="24" t="str"/>
      <x:c r="B4" t="str"/>
      <x:c r="C4" s="24" t="str"/>
      <x:c r="D4" t="str"/>
      <x:c r="E4" s="24" t="str"/>
      <x:c r="F4" t="str"/>
      <x:c r="G4" s="24" t="str"/>
      <x:c r="H4" t="str"/>
      <x:c r="I4" s="24" t="str">
        <x:v>関連CR</x:v>
      </x:c>
      <x:c r="J4" t="str">
        <x:v>&lt;CR-xxx またはなし&gt;</x:v>
      </x:c>
    </x:row>
    <x:row r="6">
      <x:c r="A6" s="10" t="str">
        <x:v>作業分解（黄色のセルを入力）</x:v>
      </x:c>
      <x:c r="B6" s="10" t="str">
        <x:v>作業分解（黄色のセルを入力）</x:v>
      </x:c>
      <x:c r="C6" s="10" t="str">
        <x:v>作業分解（黄色のセルを入力）</x:v>
      </x:c>
      <x:c r="D6" s="10" t="str">
        <x:v>作業分解（黄色のセルを入力）</x:v>
      </x:c>
      <x:c r="E6" s="10" t="str">
        <x:v>作業分解（黄色のセルを入力）</x:v>
      </x:c>
      <x:c r="F6" s="10" t="str">
        <x:v>作業分解（黄色のセルを入力）</x:v>
      </x:c>
      <x:c r="G6" s="10" t="str">
        <x:v>作業分解（黄色のセルを入力）</x:v>
      </x:c>
      <x:c r="H6" s="10" t="str">
        <x:v>作業分解（黄色のセルを入力）</x:v>
      </x:c>
      <x:c r="I6" s="10" t="str">
        <x:v>作業分解（黄色のセルを入力）</x:v>
      </x:c>
      <x:c r="J6" s="10" t="str">
        <x:v>作業分解（黄色のセルを入力）</x:v>
      </x:c>
      <x:c r="K6" s="10" t="str">
        <x:v>作業分解（黄色のセルを入力）</x:v>
      </x:c>
    </x:row>
    <x:row r="8">
      <x:c r="A8" s="24" t="str">
        <x:v>WBS</x:v>
      </x:c>
      <x:c r="B8" s="24" t="str">
        <x:v>顧客提示カテゴリ</x:v>
      </x:c>
      <x:c r="C8" s="24" t="str">
        <x:v>作業</x:v>
      </x:c>
      <x:c r="D8" s="24" t="str">
        <x:v>関連ID</x:v>
      </x:c>
      <x:c r="E8" s="24" t="str">
        <x:v>役割</x:v>
      </x:c>
      <x:c r="F8" s="24" t="str">
        <x:v>内部工数（時間）</x:v>
      </x:c>
      <x:c r="G8" s="24" t="str">
        <x:v>内部時間単価</x:v>
      </x:c>
      <x:c r="H8" s="24" t="str">
        <x:v>人日</x:v>
      </x:c>
      <x:c r="I8" s="24" t="str">
        <x:v>人月</x:v>
      </x:c>
      <x:c r="J8" s="24" t="str">
        <x:v>内部労務費</x:v>
      </x:c>
      <x:c r="K8" s="24" t="str">
        <x:v>根拠・前提</x:v>
      </x:c>
    </x:row>
    <x:row r="9">
      <x:c r="A9" s="25" t="n">
        <x:v>1</x:v>
      </x:c>
      <x:c r="B9" s="26" t="str">
        <x:v>要件・設計</x:v>
      </x:c>
      <x:c r="C9" s="26" t="str">
        <x:v>&lt;作業名&gt;</x:v>
      </x:c>
      <x:c r="D9" s="26" t="str">
        <x:v>FR-001</x:v>
      </x:c>
      <x:c r="E9" s="26" t="str">
        <x:v>&lt;役割&gt;</x:v>
      </x:c>
      <x:c r="F9" s="56" t="n">
        <x:v>0</x:v>
      </x:c>
      <x:c r="G9" s="57" t="n">
        <x:v>0</x:v>
      </x:c>
      <x:c r="H9" s="58" t="n">
        <x:f>F9/'Parameters'!$B$5</x:f>
        <x:v>0</x:v>
      </x:c>
      <x:c r="I9" s="58" t="n">
        <x:f>H9/'Parameters'!$B$6</x:f>
        <x:v>0</x:v>
      </x:c>
      <x:c r="J9" s="59" t="n">
        <x:f>F9*G9</x:f>
        <x:v>0</x:v>
      </x:c>
      <x:c r="K9" s="25" t="str">
        <x:v>&lt;根拠・前提&gt;</x:v>
      </x:c>
    </x:row>
    <x:row r="10">
      <x:c r="A10" s="25" t="n">
        <x:v>2</x:v>
      </x:c>
      <x:c r="B10" s="26" t="str">
        <x:v>要件・設計</x:v>
      </x:c>
      <x:c r="C10" s="26" t="str">
        <x:v>&lt;作業名&gt;</x:v>
      </x:c>
      <x:c r="D10" s="26" t="str">
        <x:v>FR-001</x:v>
      </x:c>
      <x:c r="E10" s="26" t="str">
        <x:v>&lt;役割&gt;</x:v>
      </x:c>
      <x:c r="F10" s="56" t="n">
        <x:v>0</x:v>
      </x:c>
      <x:c r="G10" s="57" t="n">
        <x:v>0</x:v>
      </x:c>
      <x:c r="H10" s="58" t="n">
        <x:f>F10/'Parameters'!$B$5</x:f>
        <x:v>0</x:v>
      </x:c>
      <x:c r="I10" s="58" t="n">
        <x:f>H10/'Parameters'!$B$6</x:f>
        <x:v>0</x:v>
      </x:c>
      <x:c r="J10" s="59" t="n">
        <x:f>F10*G10</x:f>
        <x:v>0</x:v>
      </x:c>
      <x:c r="K10" s="25" t="str">
        <x:v>&lt;根拠・前提&gt;</x:v>
      </x:c>
    </x:row>
    <x:row r="11">
      <x:c r="A11" s="25" t="n">
        <x:v>3</x:v>
      </x:c>
      <x:c r="B11" s="26" t="str">
        <x:v>要件・設計</x:v>
      </x:c>
      <x:c r="C11" s="26" t="str">
        <x:v>&lt;作業名&gt;</x:v>
      </x:c>
      <x:c r="D11" s="26" t="str">
        <x:v>FR-001</x:v>
      </x:c>
      <x:c r="E11" s="26" t="str">
        <x:v>&lt;役割&gt;</x:v>
      </x:c>
      <x:c r="F11" s="56" t="n">
        <x:v>0</x:v>
      </x:c>
      <x:c r="G11" s="57" t="n">
        <x:v>0</x:v>
      </x:c>
      <x:c r="H11" s="58" t="n">
        <x:f>F11/'Parameters'!$B$5</x:f>
        <x:v>0</x:v>
      </x:c>
      <x:c r="I11" s="58" t="n">
        <x:f>H11/'Parameters'!$B$6</x:f>
        <x:v>0</x:v>
      </x:c>
      <x:c r="J11" s="59" t="n">
        <x:f>F11*G11</x:f>
        <x:v>0</x:v>
      </x:c>
      <x:c r="K11" s="25" t="str">
        <x:v>&lt;根拠・前提&gt;</x:v>
      </x:c>
    </x:row>
    <x:row r="12">
      <x:c r="A12" s="25" t="n">
        <x:v>4</x:v>
      </x:c>
      <x:c r="B12" s="26" t="str">
        <x:v>要件・設計</x:v>
      </x:c>
      <x:c r="C12" s="26" t="str">
        <x:v>&lt;作業名&gt;</x:v>
      </x:c>
      <x:c r="D12" s="26" t="str">
        <x:v>FR-001</x:v>
      </x:c>
      <x:c r="E12" s="26" t="str">
        <x:v>&lt;役割&gt;</x:v>
      </x:c>
      <x:c r="F12" s="56" t="n">
        <x:v>0</x:v>
      </x:c>
      <x:c r="G12" s="57" t="n">
        <x:v>0</x:v>
      </x:c>
      <x:c r="H12" s="58" t="n">
        <x:f>F12/'Parameters'!$B$5</x:f>
        <x:v>0</x:v>
      </x:c>
      <x:c r="I12" s="58" t="n">
        <x:f>H12/'Parameters'!$B$6</x:f>
        <x:v>0</x:v>
      </x:c>
      <x:c r="J12" s="59" t="n">
        <x:f>F12*G12</x:f>
        <x:v>0</x:v>
      </x:c>
      <x:c r="K12" s="25" t="str">
        <x:v>&lt;根拠・前提&gt;</x:v>
      </x:c>
    </x:row>
    <x:row r="13">
      <x:c r="A13" s="25" t="n">
        <x:v>5</x:v>
      </x:c>
      <x:c r="B13" s="26" t="str">
        <x:v>要件・設計</x:v>
      </x:c>
      <x:c r="C13" s="26" t="str">
        <x:v>&lt;作業名&gt;</x:v>
      </x:c>
      <x:c r="D13" s="26" t="str">
        <x:v>FR-001</x:v>
      </x:c>
      <x:c r="E13" s="26" t="str">
        <x:v>&lt;役割&gt;</x:v>
      </x:c>
      <x:c r="F13" s="56" t="n">
        <x:v>0</x:v>
      </x:c>
      <x:c r="G13" s="57" t="n">
        <x:v>0</x:v>
      </x:c>
      <x:c r="H13" s="58" t="n">
        <x:f>F13/'Parameters'!$B$5</x:f>
        <x:v>0</x:v>
      </x:c>
      <x:c r="I13" s="58" t="n">
        <x:f>H13/'Parameters'!$B$6</x:f>
        <x:v>0</x:v>
      </x:c>
      <x:c r="J13" s="59" t="n">
        <x:f>F13*G13</x:f>
        <x:v>0</x:v>
      </x:c>
      <x:c r="K13" s="25" t="str">
        <x:v>&lt;根拠・前提&gt;</x:v>
      </x:c>
    </x:row>
    <x:row r="14">
      <x:c r="A14" s="25" t="n">
        <x:v>6</x:v>
      </x:c>
      <x:c r="B14" s="26" t="str">
        <x:v>要件・設計</x:v>
      </x:c>
      <x:c r="C14" s="26" t="str">
        <x:v>&lt;作業名&gt;</x:v>
      </x:c>
      <x:c r="D14" s="26" t="str">
        <x:v>FR-001</x:v>
      </x:c>
      <x:c r="E14" s="26" t="str">
        <x:v>&lt;役割&gt;</x:v>
      </x:c>
      <x:c r="F14" s="56" t="n">
        <x:v>0</x:v>
      </x:c>
      <x:c r="G14" s="57" t="n">
        <x:v>0</x:v>
      </x:c>
      <x:c r="H14" s="58" t="n">
        <x:f>F14/'Parameters'!$B$5</x:f>
        <x:v>0</x:v>
      </x:c>
      <x:c r="I14" s="58" t="n">
        <x:f>H14/'Parameters'!$B$6</x:f>
        <x:v>0</x:v>
      </x:c>
      <x:c r="J14" s="59" t="n">
        <x:f>F14*G14</x:f>
        <x:v>0</x:v>
      </x:c>
      <x:c r="K14" s="25" t="str">
        <x:v>&lt;根拠・前提&gt;</x:v>
      </x:c>
    </x:row>
    <x:row r="15">
      <x:c r="A15" s="25" t="n">
        <x:v>7</x:v>
      </x:c>
      <x:c r="B15" s="26" t="str">
        <x:v>要件・設計</x:v>
      </x:c>
      <x:c r="C15" s="26" t="str">
        <x:v>&lt;作業名&gt;</x:v>
      </x:c>
      <x:c r="D15" s="26" t="str">
        <x:v>FR-001</x:v>
      </x:c>
      <x:c r="E15" s="26" t="str">
        <x:v>&lt;役割&gt;</x:v>
      </x:c>
      <x:c r="F15" s="56" t="n">
        <x:v>0</x:v>
      </x:c>
      <x:c r="G15" s="57" t="n">
        <x:v>0</x:v>
      </x:c>
      <x:c r="H15" s="58" t="n">
        <x:f>F15/'Parameters'!$B$5</x:f>
        <x:v>0</x:v>
      </x:c>
      <x:c r="I15" s="58" t="n">
        <x:f>H15/'Parameters'!$B$6</x:f>
        <x:v>0</x:v>
      </x:c>
      <x:c r="J15" s="59" t="n">
        <x:f>F15*G15</x:f>
        <x:v>0</x:v>
      </x:c>
      <x:c r="K15" s="25" t="str">
        <x:v>&lt;根拠・前提&gt;</x:v>
      </x:c>
    </x:row>
    <x:row r="16">
      <x:c r="A16" s="25" t="n">
        <x:v>8</x:v>
      </x:c>
      <x:c r="B16" s="26" t="str">
        <x:v>要件・設計</x:v>
      </x:c>
      <x:c r="C16" s="26" t="str">
        <x:v>&lt;作業名&gt;</x:v>
      </x:c>
      <x:c r="D16" s="26" t="str">
        <x:v>FR-001</x:v>
      </x:c>
      <x:c r="E16" s="26" t="str">
        <x:v>&lt;役割&gt;</x:v>
      </x:c>
      <x:c r="F16" s="56" t="n">
        <x:v>0</x:v>
      </x:c>
      <x:c r="G16" s="57" t="n">
        <x:v>0</x:v>
      </x:c>
      <x:c r="H16" s="58" t="n">
        <x:f>F16/'Parameters'!$B$5</x:f>
        <x:v>0</x:v>
      </x:c>
      <x:c r="I16" s="58" t="n">
        <x:f>H16/'Parameters'!$B$6</x:f>
        <x:v>0</x:v>
      </x:c>
      <x:c r="J16" s="59" t="n">
        <x:f>F16*G16</x:f>
        <x:v>0</x:v>
      </x:c>
      <x:c r="K16" s="25" t="str">
        <x:v>&lt;根拠・前提&gt;</x:v>
      </x:c>
    </x:row>
    <x:row r="17">
      <x:c r="A17" s="25" t="n">
        <x:v>9</x:v>
      </x:c>
      <x:c r="B17" s="26" t="str">
        <x:v>要件・設計</x:v>
      </x:c>
      <x:c r="C17" s="26" t="str">
        <x:v>&lt;作業名&gt;</x:v>
      </x:c>
      <x:c r="D17" s="26" t="str">
        <x:v>FR-001</x:v>
      </x:c>
      <x:c r="E17" s="26" t="str">
        <x:v>&lt;役割&gt;</x:v>
      </x:c>
      <x:c r="F17" s="56" t="n">
        <x:v>0</x:v>
      </x:c>
      <x:c r="G17" s="57" t="n">
        <x:v>0</x:v>
      </x:c>
      <x:c r="H17" s="58" t="n">
        <x:f>F17/'Parameters'!$B$5</x:f>
        <x:v>0</x:v>
      </x:c>
      <x:c r="I17" s="58" t="n">
        <x:f>H17/'Parameters'!$B$6</x:f>
        <x:v>0</x:v>
      </x:c>
      <x:c r="J17" s="59" t="n">
        <x:f>F17*G17</x:f>
        <x:v>0</x:v>
      </x:c>
      <x:c r="K17" s="25" t="str">
        <x:v>&lt;根拠・前提&gt;</x:v>
      </x:c>
    </x:row>
    <x:row r="18">
      <x:c r="A18" s="25" t="n">
        <x:v>10</x:v>
      </x:c>
      <x:c r="B18" s="26" t="str">
        <x:v>要件・設計</x:v>
      </x:c>
      <x:c r="C18" s="26" t="str">
        <x:v>&lt;作業名&gt;</x:v>
      </x:c>
      <x:c r="D18" s="26" t="str">
        <x:v>FR-001</x:v>
      </x:c>
      <x:c r="E18" s="26" t="str">
        <x:v>&lt;役割&gt;</x:v>
      </x:c>
      <x:c r="F18" s="56" t="n">
        <x:v>0</x:v>
      </x:c>
      <x:c r="G18" s="57" t="n">
        <x:v>0</x:v>
      </x:c>
      <x:c r="H18" s="58" t="n">
        <x:f>F18/'Parameters'!$B$5</x:f>
        <x:v>0</x:v>
      </x:c>
      <x:c r="I18" s="58" t="n">
        <x:f>H18/'Parameters'!$B$6</x:f>
        <x:v>0</x:v>
      </x:c>
      <x:c r="J18" s="59" t="n">
        <x:f>F18*G18</x:f>
        <x:v>0</x:v>
      </x:c>
      <x:c r="K18" s="25" t="str">
        <x:v>&lt;根拠・前提&gt;</x:v>
      </x:c>
    </x:row>
    <x:row r="19">
      <x:c r="A19" s="25" t="n">
        <x:v>11</x:v>
      </x:c>
      <x:c r="B19" s="26" t="str">
        <x:v>要件・設計</x:v>
      </x:c>
      <x:c r="C19" s="26" t="str">
        <x:v>&lt;作業名&gt;</x:v>
      </x:c>
      <x:c r="D19" s="26" t="str">
        <x:v>FR-001</x:v>
      </x:c>
      <x:c r="E19" s="26" t="str">
        <x:v>&lt;役割&gt;</x:v>
      </x:c>
      <x:c r="F19" s="56" t="n">
        <x:v>0</x:v>
      </x:c>
      <x:c r="G19" s="57" t="n">
        <x:v>0</x:v>
      </x:c>
      <x:c r="H19" s="58" t="n">
        <x:f>F19/'Parameters'!$B$5</x:f>
        <x:v>0</x:v>
      </x:c>
      <x:c r="I19" s="58" t="n">
        <x:f>H19/'Parameters'!$B$6</x:f>
        <x:v>0</x:v>
      </x:c>
      <x:c r="J19" s="59" t="n">
        <x:f>F19*G19</x:f>
        <x:v>0</x:v>
      </x:c>
      <x:c r="K19" s="25" t="str">
        <x:v>&lt;根拠・前提&gt;</x:v>
      </x:c>
    </x:row>
    <x:row r="20">
      <x:c r="A20" s="25" t="n">
        <x:v>12</x:v>
      </x:c>
      <x:c r="B20" s="26" t="str">
        <x:v>要件・設計</x:v>
      </x:c>
      <x:c r="C20" s="26" t="str">
        <x:v>&lt;作業名&gt;</x:v>
      </x:c>
      <x:c r="D20" s="26" t="str">
        <x:v>FR-001</x:v>
      </x:c>
      <x:c r="E20" s="26" t="str">
        <x:v>&lt;役割&gt;</x:v>
      </x:c>
      <x:c r="F20" s="56" t="n">
        <x:v>0</x:v>
      </x:c>
      <x:c r="G20" s="57" t="n">
        <x:v>0</x:v>
      </x:c>
      <x:c r="H20" s="58" t="n">
        <x:f>F20/'Parameters'!$B$5</x:f>
        <x:v>0</x:v>
      </x:c>
      <x:c r="I20" s="58" t="n">
        <x:f>H20/'Parameters'!$B$6</x:f>
        <x:v>0</x:v>
      </x:c>
      <x:c r="J20" s="59" t="n">
        <x:f>F20*G20</x:f>
        <x:v>0</x:v>
      </x:c>
      <x:c r="K20" s="25" t="str">
        <x:v>&lt;根拠・前提&gt;</x:v>
      </x:c>
    </x:row>
    <x:row r="21">
      <x:c r="A21" s="25" t="n">
        <x:v>13</x:v>
      </x:c>
      <x:c r="B21" s="26" t="str">
        <x:v>要件・設計</x:v>
      </x:c>
      <x:c r="C21" s="26" t="str">
        <x:v>&lt;作業名&gt;</x:v>
      </x:c>
      <x:c r="D21" s="26" t="str">
        <x:v>FR-001</x:v>
      </x:c>
      <x:c r="E21" s="26" t="str">
        <x:v>&lt;役割&gt;</x:v>
      </x:c>
      <x:c r="F21" s="56" t="n">
        <x:v>0</x:v>
      </x:c>
      <x:c r="G21" s="57" t="n">
        <x:v>0</x:v>
      </x:c>
      <x:c r="H21" s="58" t="n">
        <x:f>F21/'Parameters'!$B$5</x:f>
        <x:v>0</x:v>
      </x:c>
      <x:c r="I21" s="58" t="n">
        <x:f>H21/'Parameters'!$B$6</x:f>
        <x:v>0</x:v>
      </x:c>
      <x:c r="J21" s="59" t="n">
        <x:f>F21*G21</x:f>
        <x:v>0</x:v>
      </x:c>
      <x:c r="K21" s="25" t="str">
        <x:v>&lt;根拠・前提&gt;</x:v>
      </x:c>
    </x:row>
    <x:row r="22">
      <x:c r="A22" s="25" t="n">
        <x:v>14</x:v>
      </x:c>
      <x:c r="B22" s="26" t="str">
        <x:v>要件・設計</x:v>
      </x:c>
      <x:c r="C22" s="26" t="str">
        <x:v>&lt;作業名&gt;</x:v>
      </x:c>
      <x:c r="D22" s="26" t="str">
        <x:v>FR-001</x:v>
      </x:c>
      <x:c r="E22" s="26" t="str">
        <x:v>&lt;役割&gt;</x:v>
      </x:c>
      <x:c r="F22" s="56" t="n">
        <x:v>0</x:v>
      </x:c>
      <x:c r="G22" s="57" t="n">
        <x:v>0</x:v>
      </x:c>
      <x:c r="H22" s="58" t="n">
        <x:f>F22/'Parameters'!$B$5</x:f>
        <x:v>0</x:v>
      </x:c>
      <x:c r="I22" s="58" t="n">
        <x:f>H22/'Parameters'!$B$6</x:f>
        <x:v>0</x:v>
      </x:c>
      <x:c r="J22" s="59" t="n">
        <x:f>F22*G22</x:f>
        <x:v>0</x:v>
      </x:c>
      <x:c r="K22" s="25" t="str">
        <x:v>&lt;根拠・前提&gt;</x:v>
      </x:c>
    </x:row>
    <x:row r="23">
      <x:c r="A23" s="25" t="n">
        <x:v>15</x:v>
      </x:c>
      <x:c r="B23" s="26" t="str">
        <x:v>要件・設計</x:v>
      </x:c>
      <x:c r="C23" s="26" t="str">
        <x:v>&lt;作業名&gt;</x:v>
      </x:c>
      <x:c r="D23" s="26" t="str">
        <x:v>FR-001</x:v>
      </x:c>
      <x:c r="E23" s="26" t="str">
        <x:v>&lt;役割&gt;</x:v>
      </x:c>
      <x:c r="F23" s="56" t="n">
        <x:v>0</x:v>
      </x:c>
      <x:c r="G23" s="57" t="n">
        <x:v>0</x:v>
      </x:c>
      <x:c r="H23" s="58" t="n">
        <x:f>F23/'Parameters'!$B$5</x:f>
        <x:v>0</x:v>
      </x:c>
      <x:c r="I23" s="58" t="n">
        <x:f>H23/'Parameters'!$B$6</x:f>
        <x:v>0</x:v>
      </x:c>
      <x:c r="J23" s="59" t="n">
        <x:f>F23*G23</x:f>
        <x:v>0</x:v>
      </x:c>
      <x:c r="K23" s="25" t="str">
        <x:v>&lt;根拠・前提&gt;</x:v>
      </x:c>
    </x:row>
    <x:row r="24">
      <x:c r="A24" s="25" t="n">
        <x:v>16</x:v>
      </x:c>
      <x:c r="B24" s="26" t="str">
        <x:v>要件・設計</x:v>
      </x:c>
      <x:c r="C24" s="26" t="str">
        <x:v>&lt;作業名&gt;</x:v>
      </x:c>
      <x:c r="D24" s="26" t="str">
        <x:v>FR-001</x:v>
      </x:c>
      <x:c r="E24" s="26" t="str">
        <x:v>&lt;役割&gt;</x:v>
      </x:c>
      <x:c r="F24" s="56" t="n">
        <x:v>0</x:v>
      </x:c>
      <x:c r="G24" s="57" t="n">
        <x:v>0</x:v>
      </x:c>
      <x:c r="H24" s="58" t="n">
        <x:f>F24/'Parameters'!$B$5</x:f>
        <x:v>0</x:v>
      </x:c>
      <x:c r="I24" s="58" t="n">
        <x:f>H24/'Parameters'!$B$6</x:f>
        <x:v>0</x:v>
      </x:c>
      <x:c r="J24" s="59" t="n">
        <x:f>F24*G24</x:f>
        <x:v>0</x:v>
      </x:c>
      <x:c r="K24" s="25" t="str">
        <x:v>&lt;根拠・前提&gt;</x:v>
      </x:c>
    </x:row>
    <x:row r="25">
      <x:c r="A25" s="25" t="n">
        <x:v>17</x:v>
      </x:c>
      <x:c r="B25" s="26" t="str">
        <x:v>要件・設計</x:v>
      </x:c>
      <x:c r="C25" s="26" t="str">
        <x:v>&lt;作業名&gt;</x:v>
      </x:c>
      <x:c r="D25" s="26" t="str">
        <x:v>FR-001</x:v>
      </x:c>
      <x:c r="E25" s="26" t="str">
        <x:v>&lt;役割&gt;</x:v>
      </x:c>
      <x:c r="F25" s="56" t="n">
        <x:v>0</x:v>
      </x:c>
      <x:c r="G25" s="57" t="n">
        <x:v>0</x:v>
      </x:c>
      <x:c r="H25" s="58" t="n">
        <x:f>F25/'Parameters'!$B$5</x:f>
        <x:v>0</x:v>
      </x:c>
      <x:c r="I25" s="58" t="n">
        <x:f>H25/'Parameters'!$B$6</x:f>
        <x:v>0</x:v>
      </x:c>
      <x:c r="J25" s="59" t="n">
        <x:f>F25*G25</x:f>
        <x:v>0</x:v>
      </x:c>
      <x:c r="K25" s="25" t="str">
        <x:v>&lt;根拠・前提&gt;</x:v>
      </x:c>
    </x:row>
    <x:row r="26">
      <x:c r="A26" s="25" t="n">
        <x:v>18</x:v>
      </x:c>
      <x:c r="B26" s="26" t="str">
        <x:v>要件・設計</x:v>
      </x:c>
      <x:c r="C26" s="26" t="str">
        <x:v>&lt;作業名&gt;</x:v>
      </x:c>
      <x:c r="D26" s="26" t="str">
        <x:v>FR-001</x:v>
      </x:c>
      <x:c r="E26" s="26" t="str">
        <x:v>&lt;役割&gt;</x:v>
      </x:c>
      <x:c r="F26" s="56" t="n">
        <x:v>0</x:v>
      </x:c>
      <x:c r="G26" s="57" t="n">
        <x:v>0</x:v>
      </x:c>
      <x:c r="H26" s="58" t="n">
        <x:f>F26/'Parameters'!$B$5</x:f>
        <x:v>0</x:v>
      </x:c>
      <x:c r="I26" s="58" t="n">
        <x:f>H26/'Parameters'!$B$6</x:f>
        <x:v>0</x:v>
      </x:c>
      <x:c r="J26" s="59" t="n">
        <x:f>F26*G26</x:f>
        <x:v>0</x:v>
      </x:c>
      <x:c r="K26" s="25" t="str">
        <x:v>&lt;根拠・前提&gt;</x:v>
      </x:c>
    </x:row>
    <x:row r="27">
      <x:c r="A27" s="25" t="n">
        <x:v>19</x:v>
      </x:c>
      <x:c r="B27" s="26" t="str">
        <x:v>要件・設計</x:v>
      </x:c>
      <x:c r="C27" s="26" t="str">
        <x:v>&lt;作業名&gt;</x:v>
      </x:c>
      <x:c r="D27" s="26" t="str">
        <x:v>FR-001</x:v>
      </x:c>
      <x:c r="E27" s="26" t="str">
        <x:v>&lt;役割&gt;</x:v>
      </x:c>
      <x:c r="F27" s="56" t="n">
        <x:v>0</x:v>
      </x:c>
      <x:c r="G27" s="57" t="n">
        <x:v>0</x:v>
      </x:c>
      <x:c r="H27" s="58" t="n">
        <x:f>F27/'Parameters'!$B$5</x:f>
        <x:v>0</x:v>
      </x:c>
      <x:c r="I27" s="58" t="n">
        <x:f>H27/'Parameters'!$B$6</x:f>
        <x:v>0</x:v>
      </x:c>
      <x:c r="J27" s="59" t="n">
        <x:f>F27*G27</x:f>
        <x:v>0</x:v>
      </x:c>
      <x:c r="K27" s="25" t="str">
        <x:v>&lt;根拠・前提&gt;</x:v>
      </x:c>
    </x:row>
    <x:row r="28">
      <x:c r="A28" s="25" t="n">
        <x:v>20</x:v>
      </x:c>
      <x:c r="B28" s="26" t="str">
        <x:v>要件・設計</x:v>
      </x:c>
      <x:c r="C28" s="26" t="str">
        <x:v>&lt;作業名&gt;</x:v>
      </x:c>
      <x:c r="D28" s="26" t="str">
        <x:v>FR-001</x:v>
      </x:c>
      <x:c r="E28" s="26" t="str">
        <x:v>&lt;役割&gt;</x:v>
      </x:c>
      <x:c r="F28" s="56" t="n">
        <x:v>0</x:v>
      </x:c>
      <x:c r="G28" s="57" t="n">
        <x:v>0</x:v>
      </x:c>
      <x:c r="H28" s="58" t="n">
        <x:f>F28/'Parameters'!$B$5</x:f>
        <x:v>0</x:v>
      </x:c>
      <x:c r="I28" s="58" t="n">
        <x:f>H28/'Parameters'!$B$6</x:f>
        <x:v>0</x:v>
      </x:c>
      <x:c r="J28" s="59" t="n">
        <x:f>F28*G28</x:f>
        <x:v>0</x:v>
      </x:c>
      <x:c r="K28" s="25" t="str">
        <x:v>&lt;根拠・前提&gt;</x:v>
      </x:c>
    </x:row>
    <x:row r="30">
      <x:c r="A30" s="9" t="str">
        <x:v>合計</x:v>
      </x:c>
      <x:c r="B30" s="9" t="str"/>
      <x:c r="C30" s="9" t="str"/>
      <x:c r="D30" s="9" t="str"/>
      <x:c r="E30" s="9" t="str"/>
      <x:c r="F30" s="60" t="n">
        <x:f>SUM(F9:F28)</x:f>
        <x:v>0</x:v>
      </x:c>
      <x:c r="G30" s="60" t="str"/>
      <x:c r="H30" s="60" t="n">
        <x:f>SUM(H9:H28)</x:f>
        <x:v>0</x:v>
      </x:c>
      <x:c r="I30" s="60" t="n">
        <x:f>SUM(I9:I28)</x:f>
        <x:v>0</x:v>
      </x:c>
      <x:c r="J30" s="61" t="n">
        <x:f>SUM(J9:J28)</x:f>
        <x:v>0</x:v>
      </x:c>
    </x:row>
  </x:sheetData>
  <x:mergeCells>
    <x:mergeCell ref="A1:K1"/>
    <x:mergeCell ref="A6:K6"/>
  </x:mergeCells>
  <x:dataValidations count="1">
    <x:dataValidation type="list" sqref="B9:B28">
      <x:formula1>"要件・設計,実装,テスト・リリース,調整・管理"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7" hidden="0" customWidth="1"/>
    <x:col min="4" max="4" width="17" hidden="0" customWidth="1"/>
    <x:col min="5" max="5" width="17" hidden="0" customWidth="1"/>
    <x:col min="6" max="6" width="18" hidden="0" customWidth="1"/>
    <x:col min="7" max="7" width="28" hidden="0" customWidth="1"/>
  </x:cols>
  <x:sheetData>
    <x:row r="1" ht="28" customHeight="1">
      <x:c r="A1" s="4" t="str">
        <x:v>顧客提示用見積 — 内部作成プレビュー</x:v>
      </x:c>
      <x:c r="B1" s="4" t="str">
        <x:v>顧客提示用見積 — 内部作成プレビュー</x:v>
      </x:c>
      <x:c r="C1" s="4" t="str">
        <x:v>顧客提示用見積 — 内部作成プレビュー</x:v>
      </x:c>
      <x:c r="D1" s="4" t="str">
        <x:v>顧客提示用見積 — 内部作成プレビュー</x:v>
      </x:c>
      <x:c r="E1" s="4" t="str">
        <x:v>顧客提示用見積 — 内部作成プレビュー</x:v>
      </x:c>
      <x:c r="F1" s="4" t="str">
        <x:v>顧客提示用見積 — 内部作成プレビュー</x:v>
      </x:c>
      <x:c r="G1" s="4" t="str">
        <x:v>顧客提示用見積 — 内部作成プレビュー</x:v>
      </x:c>
    </x:row>
    <x:row r="3">
      <x:c r="A3" s="7" t="str">
        <x:v>このシートを含む内部ブックは共有禁止です。顧客へは、値貼り付けした『client_estimate_share_template.xlsx』だけを渡してください。</x:v>
      </x:c>
      <x:c r="B3" s="7" t="str">
        <x:v>このシートを含む内部ブックは共有禁止です。顧客へは、値貼り付けした『client_estimate_share_template.xlsx』だけを渡してください。</x:v>
      </x:c>
      <x:c r="C3" s="7" t="str">
        <x:v>このシートを含む内部ブックは共有禁止です。顧客へは、値貼り付けした『client_estimate_share_template.xlsx』だけを渡してください。</x:v>
      </x:c>
      <x:c r="D3" s="7" t="str">
        <x:v>このシートを含む内部ブックは共有禁止です。顧客へは、値貼り付けした『client_estimate_share_template.xlsx』だけを渡してください。</x:v>
      </x:c>
      <x:c r="E3" s="7" t="str">
        <x:v>このシートを含む内部ブックは共有禁止です。顧客へは、値貼り付けした『client_estimate_share_template.xlsx』だけを渡してください。</x:v>
      </x:c>
      <x:c r="F3" s="7" t="str">
        <x:v>このシートを含む内部ブックは共有禁止です。顧客へは、値貼り付けした『client_estimate_share_template.xlsx』だけを渡してください。</x:v>
      </x:c>
      <x:c r="G3" s="7" t="str">
        <x:v>このシートを含む内部ブックは共有禁止です。顧客へは、値貼り付けした『client_estimate_share_template.xlsx』だけを渡してください。</x:v>
      </x:c>
    </x:row>
    <x:row r="5">
      <x:c r="A5" s="24" t="str">
        <x:v>見積ID</x:v>
      </x:c>
      <x:c r="B5" s="44" t="str">
        <x:f>'Internal Estimate'!$J$3</x:f>
        <x:v>EST-001</x:v>
      </x:c>
    </x:row>
    <x:row r="6">
      <x:c r="A6" s="24" t="str">
        <x:v>難易度帯</x:v>
      </x:c>
      <x:c r="B6" s="44" t="str">
        <x:f>'Difficulty'!$B$17</x:f>
        <x:v>中</x:v>
      </x:c>
    </x:row>
    <x:row r="7">
      <x:c r="A7" s="24" t="str">
        <x:v>提示用工数倍率</x:v>
      </x:c>
      <x:c r="B7" s="45" t="n">
        <x:f>'Difficulty'!$B$18</x:f>
        <x:v>1.5</x:v>
      </x:c>
    </x:row>
    <x:row r="8">
      <x:c r="A8" s="24" t="str">
        <x:v>顧客提示用時間単価</x:v>
      </x:c>
      <x:c r="B8" s="62" t="n">
        <x:f>'Parameters'!$B$7</x:f>
        <x:v>0</x:v>
      </x:c>
    </x:row>
    <x:row r="10">
      <x:c r="A10" s="10" t="str">
        <x:v>顧客提示用の集計（値貼り付けして利用）</x:v>
      </x:c>
      <x:c r="B10" s="10" t="str">
        <x:v>顧客提示用の集計（値貼り付けして利用）</x:v>
      </x:c>
      <x:c r="C10" s="10" t="str">
        <x:v>顧客提示用の集計（値貼り付けして利用）</x:v>
      </x:c>
      <x:c r="D10" s="10" t="str">
        <x:v>顧客提示用の集計（値貼り付けして利用）</x:v>
      </x:c>
      <x:c r="E10" s="10" t="str">
        <x:v>顧客提示用の集計（値貼り付けして利用）</x:v>
      </x:c>
      <x:c r="F10" s="10" t="str">
        <x:v>顧客提示用の集計（値貼り付けして利用）</x:v>
      </x:c>
      <x:c r="G10" s="10" t="str">
        <x:v>顧客提示用の集計（値貼り付けして利用）</x:v>
      </x:c>
    </x:row>
    <x:row r="12">
      <x:c r="A12" s="24" t="str">
        <x:v>カテゴリ</x:v>
      </x:c>
      <x:c r="B12" s="24" t="str">
        <x:v>対象範囲・前提</x:v>
      </x:c>
      <x:c r="C12" s="24" t="str">
        <x:v>提示工数（時間）</x:v>
      </x:c>
      <x:c r="D12" s="24" t="str">
        <x:v>提示工数（人日）</x:v>
      </x:c>
      <x:c r="E12" s="24" t="str">
        <x:v>提示工数（人月）</x:v>
      </x:c>
      <x:c r="F12" s="24" t="str">
        <x:v>提示金額</x:v>
      </x:c>
      <x:c r="G12" s="24" t="str">
        <x:v>備考</x:v>
      </x:c>
    </x:row>
    <x:row r="13">
      <x:c r="A13" s="25" t="str">
        <x:v>要件・設計</x:v>
      </x:c>
      <x:c r="B13" s="25" t="str">
        <x:v>要件確認、設計、レビュー</x:v>
      </x:c>
      <x:c r="C13" s="58" t="n">
        <x:f>SUMIF('Internal Estimate'!$B$9:$B$28,A13,'Internal Estimate'!$F$9:$F$28)*'Difficulty'!$B$18</x:f>
        <x:v>0</x:v>
      </x:c>
      <x:c r="D13" s="58" t="n">
        <x:f>C13/'Parameters'!$B$5</x:f>
        <x:v>0</x:v>
      </x:c>
      <x:c r="E13" s="58" t="n">
        <x:f>D13/'Parameters'!$B$6</x:f>
        <x:v>0</x:v>
      </x:c>
      <x:c r="F13" s="59" t="n">
        <x:f>C13*'Parameters'!$B$7</x:f>
        <x:v>0</x:v>
      </x:c>
      <x:c r="G13" s="25" t="str"/>
    </x:row>
    <x:row r="14">
      <x:c r="A14" s="25" t="str">
        <x:v>実装</x:v>
      </x:c>
      <x:c r="B14" s="25" t="str">
        <x:v>実装、コードレビュー、ドキュメント更新</x:v>
      </x:c>
      <x:c r="C14" s="58" t="n">
        <x:f>SUMIF('Internal Estimate'!$B$9:$B$28,A14,'Internal Estimate'!$F$9:$F$28)*'Difficulty'!$B$18</x:f>
        <x:v>0</x:v>
      </x:c>
      <x:c r="D14" s="58" t="n">
        <x:f>C14/'Parameters'!$B$5</x:f>
        <x:v>0</x:v>
      </x:c>
      <x:c r="E14" s="58" t="n">
        <x:f>D14/'Parameters'!$B$6</x:f>
        <x:v>0</x:v>
      </x:c>
      <x:c r="F14" s="59" t="n">
        <x:f>C14*'Parameters'!$B$7</x:f>
        <x:v>0</x:v>
      </x:c>
      <x:c r="G14" s="25" t="str"/>
    </x:row>
    <x:row r="15">
      <x:c r="A15" s="25" t="str">
        <x:v>テスト・リリース</x:v>
      </x:c>
      <x:c r="B15" s="25" t="str">
        <x:v>テスト、リリース・移行準備</x:v>
      </x:c>
      <x:c r="C15" s="58" t="n">
        <x:f>SUMIF('Internal Estimate'!$B$9:$B$28,A15,'Internal Estimate'!$F$9:$F$28)*'Difficulty'!$B$18</x:f>
        <x:v>0</x:v>
      </x:c>
      <x:c r="D15" s="58" t="n">
        <x:f>C15/'Parameters'!$B$5</x:f>
        <x:v>0</x:v>
      </x:c>
      <x:c r="E15" s="58" t="n">
        <x:f>D15/'Parameters'!$B$6</x:f>
        <x:v>0</x:v>
      </x:c>
      <x:c r="F15" s="59" t="n">
        <x:f>C15*'Parameters'!$B$7</x:f>
        <x:v>0</x:v>
      </x:c>
      <x:c r="G15" s="25" t="str"/>
    </x:row>
    <x:row r="16">
      <x:c r="A16" s="25" t="str">
        <x:v>調整・管理</x:v>
      </x:c>
      <x:c r="B16" s="25" t="str">
        <x:v>進行管理、顧客・関係者との調整</x:v>
      </x:c>
      <x:c r="C16" s="58" t="n">
        <x:f>SUMIF('Internal Estimate'!$B$9:$B$28,A16,'Internal Estimate'!$F$9:$F$28)*'Difficulty'!$B$18</x:f>
        <x:v>0</x:v>
      </x:c>
      <x:c r="D16" s="58" t="n">
        <x:f>C16/'Parameters'!$B$5</x:f>
        <x:v>0</x:v>
      </x:c>
      <x:c r="E16" s="58" t="n">
        <x:f>D16/'Parameters'!$B$6</x:f>
        <x:v>0</x:v>
      </x:c>
      <x:c r="F16" s="59" t="n">
        <x:f>C16*'Parameters'!$B$7</x:f>
        <x:v>0</x:v>
      </x:c>
      <x:c r="G16" s="25" t="str"/>
    </x:row>
    <x:row r="18">
      <x:c r="A18" s="9" t="str">
        <x:v>合計</x:v>
      </x:c>
      <x:c r="B18" s="9" t="str"/>
      <x:c r="C18" s="60" t="n">
        <x:f>SUM(C13:C16)</x:f>
        <x:v>0</x:v>
      </x:c>
      <x:c r="D18" s="60" t="n">
        <x:f>SUM(D13:D16)</x:f>
        <x:v>0</x:v>
      </x:c>
      <x:c r="E18" s="60" t="n">
        <x:f>SUM(E13:E16)</x:f>
        <x:v>0</x:v>
      </x:c>
      <x:c r="F18" s="61" t="n">
        <x:f>SUM(F13:F16)</x:f>
        <x:v>0</x:v>
      </x:c>
    </x:row>
    <x:row r="20">
      <x:c r="A20" s="30" t="str">
        <x:v>顧客向け説明例: 本見積は、現時点で確認できるスコープ・前提・品質確認・リリース準備を含む概算です。未確定事項またはスコープ変更が発生した場合は、変更見積を提示します。</x:v>
      </x:c>
    </x:row>
    <x:row r="21">
      <x:c r="A21" s="30" t="str">
        <x:v>顧客に見せる資料には、内部工数、内部時間単価、難易度の詳細、バッファ倍率を含めないでください。</x:v>
      </x:c>
    </x:row>
    <x:row r="22">
      <x:c r="A22" s="30" t="str">
        <x:v>顧客向けの金額・条件・有効期限は、責任者が最終確認してください。</x:v>
      </x:c>
    </x:row>
  </x:sheetData>
  <x:mergeCells>
    <x:mergeCell ref="A1:G1"/>
    <x:mergeCell ref="A3:G3"/>
    <x:mergeCell ref="A10:G10"/>
    <x:mergeCell ref="A20:G20"/>
    <x:mergeCell ref="A21:G21"/>
    <x:mergeCell ref="A22:G2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24" hidden="0" customWidth="1"/>
    <x:col min="4" max="4" width="40" hidden="0" customWidth="1"/>
  </x:cols>
  <x:sheetData>
    <x:row r="1" ht="28" customHeight="1">
      <x:c r="A1" s="4" t="str">
        <x:v>見積チェック</x:v>
      </x:c>
      <x:c r="B1" s="4" t="str">
        <x:v>見積チェック</x:v>
      </x:c>
      <x:c r="C1" s="4" t="str">
        <x:v>見積チェック</x:v>
      </x:c>
      <x:c r="D1" s="4" t="str">
        <x:v>見積チェック</x:v>
      </x:c>
    </x:row>
    <x:row r="3">
      <x:c r="A3" s="24" t="str">
        <x:v>チェック</x:v>
      </x:c>
      <x:c r="B3" s="24" t="str">
        <x:v>結果</x:v>
      </x:c>
      <x:c r="C3" s="24" t="str">
        <x:v>確認箇所</x:v>
      </x:c>
      <x:c r="D3" s="24" t="str">
        <x:v>対応</x:v>
      </x:c>
    </x:row>
    <x:row r="4">
      <x:c r="A4" s="25" t="str">
        <x:v>難易度スコア範囲</x:v>
      </x:c>
      <x:c r="B4" s="64" t="str">
        <x:f>IF(AND('Difficulty'!$B$16&gt;=1,'Difficulty'!$B$16&lt;=5),"PASS","FAIL")</x:f>
        <x:v>PASS</x:v>
      </x:c>
      <x:c r="C4" s="25" t="str">
        <x:v>Difficulty!B16</x:v>
      </x:c>
      <x:c r="D4" s="25" t="str">
        <x:v>1.00〜5.00に収める</x:v>
      </x:c>
    </x:row>
    <x:row r="5">
      <x:c r="A5" s="25" t="str">
        <x:v>提示用工数倍率範囲</x:v>
      </x:c>
      <x:c r="B5" s="64" t="str">
        <x:f>IF(AND('Difficulty'!$B$18&gt;=1.2,'Difficulty'!$B$18&lt;=2),"PASS","FAIL")</x:f>
        <x:v>PASS</x:v>
      </x:c>
      <x:c r="C5" s="25" t="str">
        <x:v>Difficulty!B18</x:v>
      </x:c>
      <x:c r="D5" s="25" t="str">
        <x:v>1.20〜2.00に収める</x:v>
      </x:c>
    </x:row>
    <x:row r="6">
      <x:c r="A6" s="25" t="str">
        <x:v>顧客提示用時間単価</x:v>
      </x:c>
      <x:c r="B6" s="64" t="str">
        <x:f>IF('Parameters'!$B$7&gt;0,"PASS","CHECK")</x:f>
        <x:v>CHECK</x:v>
      </x:c>
      <x:c r="C6" s="25" t="str">
        <x:v>Parameters!B7</x:v>
      </x:c>
      <x:c r="D6" s="25" t="str">
        <x:v>0以外の承認済み単価を入力する</x:v>
      </x:c>
    </x:row>
    <x:row r="7">
      <x:c r="A7" s="25" t="str">
        <x:v>関連見積ID</x:v>
      </x:c>
      <x:c r="B7" s="64" t="str">
        <x:f>IF(LEFT('Internal Estimate'!$J$3,4)="EST-","PASS","CHECK")</x:f>
        <x:v>PASS</x:v>
      </x:c>
      <x:c r="C7" s="25" t="str">
        <x:v>Internal Estimate!J3</x:v>
      </x:c>
      <x:c r="D7" s="25" t="str">
        <x:v>EST-xxxを入力する</x:v>
      </x:c>
    </x:row>
  </x:sheetData>
  <x:mergeCells>
    <x:mergeCell ref="A1:D1"/>
  </x:mergeCells>
  <x:pageMargins left="0.7" right="0.7" top="0.75" bottom="0.75" header="0.3" footer="0.3"/>
</x:worksheet>
</file>